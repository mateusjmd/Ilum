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lumcnpem-my.sharepoint.com/personal/mateus25032_ilum_cnpem_br/Documents/Ilum/1° Semestre - 2025.1/# Disciplinas/Atividades Práticas/Práticas Básicas de Laboratório/Laboratório Seco/Óptica - Difração de LASER/"/>
    </mc:Choice>
  </mc:AlternateContent>
  <xr:revisionPtr revIDLastSave="117" documentId="8_{95BF610F-DB62-402B-A5CF-0776FCD8AABF}" xr6:coauthVersionLast="47" xr6:coauthVersionMax="47" xr10:uidLastSave="{242EB1E1-84C9-4208-9306-81AC932957A5}"/>
  <bookViews>
    <workbookView xWindow="-110" yWindow="-110" windowWidth="19420" windowHeight="11500" xr2:uid="{FA0C7F25-6055-410B-B72E-B9790E70435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  <c r="B19" i="1" l="1"/>
  <c r="B20" i="1"/>
  <c r="D20" i="1"/>
</calcChain>
</file>

<file path=xl/sharedStrings.xml><?xml version="1.0" encoding="utf-8"?>
<sst xmlns="http://schemas.openxmlformats.org/spreadsheetml/2006/main" count="18" uniqueCount="12">
  <si>
    <t xml:space="preserve">m = 1 </t>
  </si>
  <si>
    <t>Ym (mm)</t>
  </si>
  <si>
    <t>D (m)</t>
  </si>
  <si>
    <t>AMOSTRA 1</t>
  </si>
  <si>
    <t>AMOSTRA 2</t>
  </si>
  <si>
    <t>diâmetro (μm)</t>
  </si>
  <si>
    <t>LASER</t>
  </si>
  <si>
    <t>Wavelength (nm)</t>
  </si>
  <si>
    <t>Média</t>
  </si>
  <si>
    <t>Desvio Padrão</t>
  </si>
  <si>
    <t>Medida do microscópio</t>
  </si>
  <si>
    <t>Estimativas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</si>
</sst>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73897-BE98-4E24-BED9-7408B6155435}">
  <dimension ref="A1:K22"/>
  <sheetViews>
    <sheetView tabSelected="1" workbookViewId="0">
      <selection activeCell="D21" sqref="A21:D21"/>
    </sheetView>
  </sheetViews>
  <sheetFormatPr defaultRowHeight="14.5" x14ac:dyDescent="0.35"/>
  <cols>
    <col min="1" max="1" width="20.6328125" style="2" bestFit="1" customWidth="1"/>
    <col min="2" max="2" width="12.26953125" style="2" bestFit="1" customWidth="1"/>
    <col min="3" max="3" width="8.7265625" style="2"/>
    <col min="4" max="4" width="13.453125" style="2" customWidth="1"/>
    <col min="5" max="6" width="8.7265625" style="2"/>
    <col min="7" max="7" width="15.08984375" style="2" bestFit="1" customWidth="1"/>
    <col min="8" max="8" width="20.6328125" style="2" bestFit="1" customWidth="1"/>
    <col min="9" max="9" width="12.26953125" style="2" bestFit="1" customWidth="1"/>
    <col min="10" max="10" width="15" style="2" customWidth="1"/>
    <col min="11" max="11" width="8.7265625" style="2"/>
    <col min="12" max="12" width="12.26953125" style="2" bestFit="1" customWidth="1"/>
    <col min="13" max="13" width="13.7265625" style="2" customWidth="1"/>
    <col min="14" max="16384" width="8.7265625" style="2"/>
  </cols>
  <sheetData>
    <row r="1" spans="1:11" x14ac:dyDescent="0.35">
      <c r="A1" s="8" t="s">
        <v>3</v>
      </c>
      <c r="B1" s="8"/>
      <c r="D1" s="8" t="s">
        <v>4</v>
      </c>
      <c r="E1" s="8"/>
      <c r="G1" s="1" t="s">
        <v>6</v>
      </c>
    </row>
    <row r="2" spans="1:11" x14ac:dyDescent="0.35">
      <c r="A2" s="1" t="s">
        <v>2</v>
      </c>
      <c r="B2" s="1" t="s">
        <v>1</v>
      </c>
      <c r="D2" s="1" t="s">
        <v>2</v>
      </c>
      <c r="E2" s="1" t="s">
        <v>1</v>
      </c>
      <c r="G2" s="1" t="s">
        <v>7</v>
      </c>
    </row>
    <row r="3" spans="1:11" x14ac:dyDescent="0.35">
      <c r="A3" s="3">
        <v>1.34</v>
      </c>
      <c r="B3" s="3">
        <v>7.84</v>
      </c>
      <c r="D3" s="3">
        <v>1.34</v>
      </c>
      <c r="E3" s="3">
        <v>11.17</v>
      </c>
      <c r="G3" s="3">
        <v>637.79999999999995</v>
      </c>
      <c r="J3" s="4"/>
      <c r="K3" s="4"/>
    </row>
    <row r="4" spans="1:11" x14ac:dyDescent="0.35">
      <c r="A4" s="3">
        <v>2.21</v>
      </c>
      <c r="B4" s="3">
        <v>13.5</v>
      </c>
      <c r="D4" s="3">
        <v>2.21</v>
      </c>
      <c r="E4" s="3">
        <v>19.43</v>
      </c>
    </row>
    <row r="5" spans="1:11" x14ac:dyDescent="0.35">
      <c r="A5" s="3">
        <v>3.57</v>
      </c>
      <c r="B5" s="3">
        <v>22.8</v>
      </c>
      <c r="D5" s="3">
        <v>3.57</v>
      </c>
      <c r="E5" s="3">
        <v>31.82</v>
      </c>
    </row>
    <row r="6" spans="1:11" x14ac:dyDescent="0.35">
      <c r="A6" s="3">
        <v>4.53</v>
      </c>
      <c r="B6" s="3">
        <v>28.21</v>
      </c>
      <c r="D6" s="3">
        <v>4.53</v>
      </c>
      <c r="E6" s="3">
        <v>39.17</v>
      </c>
    </row>
    <row r="7" spans="1:11" x14ac:dyDescent="0.35">
      <c r="A7" s="3">
        <v>6.29</v>
      </c>
      <c r="B7" s="3">
        <v>38.85</v>
      </c>
      <c r="D7" s="3">
        <v>6.29</v>
      </c>
      <c r="E7" s="3">
        <v>57.61</v>
      </c>
    </row>
    <row r="8" spans="1:11" x14ac:dyDescent="0.35">
      <c r="A8" s="2" t="s">
        <v>0</v>
      </c>
      <c r="D8" s="2" t="s">
        <v>0</v>
      </c>
    </row>
    <row r="12" spans="1:11" x14ac:dyDescent="0.35">
      <c r="B12" s="1" t="s">
        <v>3</v>
      </c>
      <c r="D12" s="1" t="s">
        <v>4</v>
      </c>
    </row>
    <row r="13" spans="1:11" x14ac:dyDescent="0.35">
      <c r="B13" s="3" t="s">
        <v>5</v>
      </c>
      <c r="D13" s="3" t="s">
        <v>5</v>
      </c>
    </row>
    <row r="14" spans="1:11" x14ac:dyDescent="0.35">
      <c r="A14" s="6"/>
      <c r="B14" s="3">
        <v>109.01</v>
      </c>
      <c r="D14" s="5">
        <v>76.510000000000005</v>
      </c>
    </row>
    <row r="15" spans="1:11" x14ac:dyDescent="0.35">
      <c r="A15" s="6"/>
      <c r="B15" s="3">
        <v>104.41</v>
      </c>
      <c r="D15" s="5">
        <v>72.540000000000006</v>
      </c>
    </row>
    <row r="16" spans="1:11" x14ac:dyDescent="0.35">
      <c r="A16" s="6"/>
      <c r="B16" s="3">
        <v>99.87</v>
      </c>
      <c r="D16" s="5">
        <v>71.56</v>
      </c>
    </row>
    <row r="17" spans="1:4" x14ac:dyDescent="0.35">
      <c r="A17" s="6"/>
      <c r="B17" s="3">
        <v>102.42</v>
      </c>
      <c r="D17" s="5">
        <v>73.760000000000005</v>
      </c>
    </row>
    <row r="18" spans="1:4" x14ac:dyDescent="0.35">
      <c r="A18" s="6"/>
      <c r="B18" s="3">
        <v>103.26</v>
      </c>
      <c r="D18" s="5">
        <v>69.64</v>
      </c>
    </row>
    <row r="19" spans="1:4" x14ac:dyDescent="0.35">
      <c r="A19" s="4" t="s">
        <v>8</v>
      </c>
      <c r="B19" s="6">
        <f>AVERAGE(B14:B18)</f>
        <v>103.79400000000001</v>
      </c>
      <c r="D19" s="6">
        <f>AVERAGE(D14:D18)</f>
        <v>72.801999999999992</v>
      </c>
    </row>
    <row r="20" spans="1:4" x14ac:dyDescent="0.35">
      <c r="A20" s="7" t="s">
        <v>9</v>
      </c>
      <c r="B20" s="6">
        <f>_xlfn.STDEV.S(B14:B18)</f>
        <v>3.3599449400250596</v>
      </c>
      <c r="D20" s="6">
        <f>_xlfn.STDEV.S(D14:D18)</f>
        <v>2.5630294574975157</v>
      </c>
    </row>
    <row r="21" spans="1:4" x14ac:dyDescent="0.35">
      <c r="A21" s="9" t="s">
        <v>11</v>
      </c>
      <c r="B21" s="10">
        <v>101.75</v>
      </c>
      <c r="C21" s="11"/>
      <c r="D21" s="10">
        <v>68.930000000000007</v>
      </c>
    </row>
    <row r="22" spans="1:4" x14ac:dyDescent="0.35">
      <c r="A22" s="4" t="s">
        <v>10</v>
      </c>
      <c r="B22" s="2">
        <v>87.77</v>
      </c>
      <c r="D22" s="2">
        <v>55.52</v>
      </c>
    </row>
  </sheetData>
  <sortState xmlns:xlrd2="http://schemas.microsoft.com/office/spreadsheetml/2017/richdata2" ref="D4:E9">
    <sortCondition ref="D4:D9"/>
  </sortState>
  <mergeCells count="2">
    <mergeCell ref="A1:B1"/>
    <mergeCell ref="D1:E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Gabriel Lima Marengo</dc:creator>
  <cp:lastModifiedBy>Mateus de Jesus Mendes</cp:lastModifiedBy>
  <dcterms:created xsi:type="dcterms:W3CDTF">2025-06-05T18:44:13Z</dcterms:created>
  <dcterms:modified xsi:type="dcterms:W3CDTF">2025-06-09T02:58:49Z</dcterms:modified>
</cp:coreProperties>
</file>